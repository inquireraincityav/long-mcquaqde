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ventory" sheetId="2" state="visible" r:id="rId4"/>
    <sheet name="Kit Templates" sheetId="3" state="visible" r:id="rId5"/>
    <sheet name="Heuristic Rul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<sst xmlns="http://schemas.openxmlformats.org/spreadsheetml/2006/main" count="244" uniqueCount="164">
  <si>
    <t xml:space="preserve">L&amp;M Gear Rental Redesign — Kit-Builder Starter Database</t>
  </si>
  <si>
    <t xml:space="preserve">Seed data for the AI kit-builder prototype (UI/UX case study — jaivalshah.com)</t>
  </si>
  <si>
    <t xml:space="preserve">WHAT'S IN THIS WORKBOOK</t>
  </si>
  <si>
    <t xml:space="preserve">Inventory — real Long &amp; McQuade catalog items, rates, and links, from your own rental sheet.</t>
  </si>
  <si>
    <t xml:space="preserve">Kit Templates — the 4 named packages from your sheet (Standard PA, Panel/Conference, Recording/Hybrid</t>
  </si>
  <si>
    <t xml:space="preserve">   Meeting, Presentation + Projector), rebuilt as formulas against Inventory so totals recalculate.</t>
  </si>
  <si>
    <t xml:space="preserve">Heuristic Rules — guest-count / event-type / venue rules for scenarios the 4 fixed packages don't cover</t>
  </si>
  <si>
    <t xml:space="preserve">   (weddings, DJ sets, live bands) — the table an LLM would query for e.g. 'outdoor wedding, 100 guests'.</t>
  </si>
  <si>
    <t xml:space="preserve">HOW THE AI FEATURE WOULD USE THIS</t>
  </si>
  <si>
    <t xml:space="preserve">1. User enters event type + guest count + venue (indoor/outdoor) on the kit-builder screen.</t>
  </si>
  <si>
    <t xml:space="preserve">2. If it matches a named package (e.g. a panel discussion), return that Kit Template directly.</t>
  </si>
  <si>
    <t xml:space="preserve">3. Otherwise, look up the nearest row in Heuristic Rules for target wattage / mic counts / fixtures,</t>
  </si>
  <si>
    <t xml:space="preserve">   then match those specs against real in-stock Inventory items to assemble a live gear list.</t>
  </si>
  <si>
    <t xml:space="preserve">4. The LLM's job is turning (2) or (3) into natural language and handling edge cases — the numbers</t>
  </si>
  <si>
    <t xml:space="preserve">   in this workbook are the ground truth it reasons from, not something it invents.</t>
  </si>
  <si>
    <t xml:space="preserve">LEGEND</t>
  </si>
  <si>
    <t xml:space="preserve">Yellow fill = price, link, or spec not yet captured — fill in from the L&amp;M listing or your rate card.</t>
  </si>
  <si>
    <t xml:space="preserve">Blue text = a hardcoded input (a rate or rule-of-thumb number). Black text = a formula.</t>
  </si>
  <si>
    <t xml:space="preserve">OPEN ITEMS FLAGGED WHILE BUILDING THIS</t>
  </si>
  <si>
    <t xml:space="preserve">- 'Podium mic' appears in the Panel/Conference and Recording/Hybrid Meeting Includes text, but wasn't</t>
  </si>
  <si>
    <t xml:space="preserve">  in your Microphones price list — both packages' computed totals will under-count until it has a rate.</t>
  </si>
  <si>
    <t xml:space="preserve">- Recording/Hybrid Meeting's Includes text names a Zoom Q8N recorder, but it was missing from your</t>
  </si>
  <si>
    <t xml:space="preserve">  'Internal gear list' — added it in Kit Templates since it's what differentiates this package from</t>
  </si>
  <si>
    <t xml:space="preserve">  Panel/Conference, and likely why that package's total showed $0.00 in your original sheet.</t>
  </si>
  <si>
    <t xml:space="preserve">- Shure e835 pointed to the same product link as SM58 in your sheet (likely copy/paste) — flagged, not</t>
  </si>
  <si>
    <t xml:space="preserve">  silently duplicated.</t>
  </si>
  <si>
    <t xml:space="preserve">- Apex Compact Boundary Microphone and the 135in 10x6 projector screen had no link — left blank.</t>
  </si>
  <si>
    <t xml:space="preserve">- Heuristic Rules wattage/mic figures are sourced industry rules of thumb, cross-checked against your</t>
  </si>
  <si>
    <t xml:space="preserve">  Aria Banquet Hall quote (Q-2026-19) as one sanity check — correct these against your own bookings</t>
  </si>
  <si>
    <t xml:space="preserve">  as you get more real quotes to compare against.</t>
  </si>
  <si>
    <t xml:space="preserve">IMAGE SOURCING PASS (added after initial build)</t>
  </si>
  <si>
    <t xml:space="preserve">Inventory now has an "Image Source (reference)" column — a real URL per item (manufacturer site</t>
  </si>
  <si>
    <t xml:space="preserve">preferred, then major retailer, then the L&amp;M product page itself when it already shows a clear photo).</t>
  </si>
  <si>
    <t xml:space="preserve">These are page links, not direct image files — I could not fetch/embed actual image bytes here since</t>
  </si>
  <si>
    <t xml:space="preserve">this environment can only reach package registries (npm/PyPI/GitHub), not general websites. When the</t>
  </si>
  <si>
    <t xml:space="preserve">working prototype gets built, pull the direct &lt;img&gt; src from each linked page and reference it live —</t>
  </si>
  <si>
    <t xml:space="preserve">the browser fetches it directly from the source, no download step needed on my end.</t>
  </si>
  <si>
    <t xml:space="preserve">NAME CORRECTION FOUND: your sheet lists "Shure e835" — Shure does not make an e835. That model is a</t>
  </si>
  <si>
    <t xml:space="preserve">Sennheiser product (it competes directly with the Shure SM58). Worth fixing the brand in your real rate</t>
  </si>
  <si>
    <t xml:space="preserve">card, not just here.</t>
  </si>
  <si>
    <t xml:space="preserve">Two items still have no confirmed image source: the generic "135in 10x6 projector screen" (no</t>
  </si>
  <si>
    <t xml:space="preserve">brand/model to search by) and the Apex Compact Boundary Microphone (couldn't confirm the exact model</t>
  </si>
  <si>
    <t xml:space="preserve">number). Both are flagged yellow in Inventory.</t>
  </si>
  <si>
    <t xml:space="preserve">Category</t>
  </si>
  <si>
    <t xml:space="preserve">Product</t>
  </si>
  <si>
    <t xml:space="preserve">Rental/Day</t>
  </si>
  <si>
    <t xml:space="preserve">Rental/Month</t>
  </si>
  <si>
    <t xml:space="preserve">Location</t>
  </si>
  <si>
    <t xml:space="preserve">Link</t>
  </si>
  <si>
    <t xml:space="preserve">Notes</t>
  </si>
  <si>
    <t xml:space="preserve">Image Source (reference)</t>
  </si>
  <si>
    <t xml:space="preserve">Speakers</t>
  </si>
  <si>
    <t xml:space="preserve">Yorkville Sound YXL12P 12 Inch 1000 Watt Powered Loudspeaker</t>
  </si>
  <si>
    <t xml:space="preserve">Vancouver (Broadway)</t>
  </si>
  <si>
    <t xml:space="preserve">https://www.long-mcquade.com/165008/Pro-Audio-Recording/PA-Speaker-Cabinets/Yorkville-Sound/YXL12P-12-Inch-1000-Watt-Powered-Loudspeaker.htm</t>
  </si>
  <si>
    <t xml:space="preserve">[Image: Manufacturer (Yorkville)]</t>
  </si>
  <si>
    <t xml:space="preserve">https://yorkville.com/loudspeakers/yxl/product/yxl12p</t>
  </si>
  <si>
    <t xml:space="preserve">Yorkville SoundEXM Mobile Tower Battery Powered PA System</t>
  </si>
  <si>
    <t xml:space="preserve">https://www.long-mcquade.com/347101/Pro-Audio-Recording/PA-Speaker-Cabinets/Yorkville-Sound/EXM-Mobile-Tower-Battery-Powered-PA-System.htm</t>
  </si>
  <si>
    <t xml:space="preserve">https://yorkville.com/loudspeakers/exm/product/exm-mobile-tower</t>
  </si>
  <si>
    <t xml:space="preserve">Yorkville Sound Tripod Boom Stand - Black</t>
  </si>
  <si>
    <t xml:space="preserve">https://www.long-mcquade.com/8769/Pro-Audio-Recording/Furniture-Stands/Yorkville-Sound/Tripod-Boom-Stand-Black.htm</t>
  </si>
  <si>
    <t xml:space="preserve">[Image: L&amp;M product page (own photo)]</t>
  </si>
  <si>
    <t xml:space="preserve">https://www.long-mcquade.com/8769/Furniture-Stands/Stands/Yorkville-Sound/Tripod-Boom-Stand-Black.htm</t>
  </si>
  <si>
    <t xml:space="preserve">Visual</t>
  </si>
  <si>
    <t xml:space="preserve">Epson PowerLite 2140W WXGA 3LCD Projector</t>
  </si>
  <si>
    <t xml:space="preserve">https://www.long-mcquade.com/84242/Pro-Audio-Recording/Lighting/Epson/PowerLite-2140W-WXGA-3LCD-Projector.htm</t>
  </si>
  <si>
    <t xml:space="preserve">[Image: Manufacturer (Epson)]</t>
  </si>
  <si>
    <t xml:space="preserve">https://epson.com/For-Work/Projectors/Meeting-Room/PowerLite-2140W-WXGA-3LCD-Projector/p/V11H819020</t>
  </si>
  <si>
    <t xml:space="preserve">135in 10x6 projector screen</t>
  </si>
  <si>
    <t xml:space="preserve">Price/link not in original sheet — fill in. [Image: No matching real product found — this line item is too generic (no brand/model) to source an image for.]</t>
  </si>
  <si>
    <t xml:space="preserve">TBD</t>
  </si>
  <si>
    <t xml:space="preserve">Grandview 80 Inch X-Press Pull-Up Projector Screen</t>
  </si>
  <si>
    <t xml:space="preserve">https://www.long-mcquade.com/65781/Pro-Audio-Recording/Lighting/Grandview/80-Inch-X-Press-Pull-Up-Projector-Screen.htm</t>
  </si>
  <si>
    <t xml:space="preserve">Grandview Cyber X-Press Series Pull-Up Projector Screen - 92"</t>
  </si>
  <si>
    <t xml:space="preserve">https://www.long-mcquade.com/65782/Pro-Audio-Recording/Lighting-Fog-Machines/Grandview/92-Inch-X-Press-Pull-Up-Projector-Screen.htm</t>
  </si>
  <si>
    <t xml:space="preserve">Zoom Q8N Handheld 4K video and audio Recorder</t>
  </si>
  <si>
    <t xml:space="preserve">https://www.long-mcquade.com/274011/Pro-Audio-Recording/Video/Zoom/Q8N-4K-Handheld-4K-Audio-and-Video-Recorder.htm</t>
  </si>
  <si>
    <t xml:space="preserve">[Image: Major retailer (B&amp;H) — Zoom's own site lists the older Q8, not the Q8n-4K]</t>
  </si>
  <si>
    <t xml:space="preserve">https://www.bhphotovideo.com/c/product/1687971-REG/zoom_zq8n4k_q8n_4k_handy_video_recorder.html</t>
  </si>
  <si>
    <t xml:space="preserve">Microphones</t>
  </si>
  <si>
    <t xml:space="preserve">Shure SM58 Unidirectional/Cardioid Dynamic Microphone</t>
  </si>
  <si>
    <t xml:space="preserve">https://www.long-mcquade.com/1093/Pro-Audio-Recording/Microphones-Vocal-Processors/Shure/SM58-Unidirectional-Cardioid-Dynamic-Microphone.htm</t>
  </si>
  <si>
    <t xml:space="preserve">Shure e835 Evolution Handheld Cardioid Microphone</t>
  </si>
  <si>
    <t xml:space="preserve">Link + price look copy/pasted from the SM58 row in your sheet — check and fill in the real e835 rate/link. [Image: Manufacturer (Sennheiser) — NAME CORRECTION: this is a Sennheiser e835, not a Shure product. Shure has no e835 model; fix the brand in your source sheet.]</t>
  </si>
  <si>
    <t xml:space="preserve">https://www.sennheiser.com/en-us/catalog/products/microphones/e-835/e-835-004513</t>
  </si>
  <si>
    <t xml:space="preserve">Shure CVB-B/O Omnidirectional Installed Boundary Microphone</t>
  </si>
  <si>
    <t xml:space="preserve">https://www.long-mcquade.com/189132/Pro-Audio-Recording/Microphones-Vocal-Processors/Shure/CVB-B-O-Omnidirectional-Installed-Boundary-Microphone-with-12ft-Cable-Black.htm</t>
  </si>
  <si>
    <t xml:space="preserve">Price not in original sheet — fill in. [Image: L&amp;M product page (own photo)]</t>
  </si>
  <si>
    <t xml:space="preserve">Apex Compact Boundary Microphone</t>
  </si>
  <si>
    <t xml:space="preserve">No link in original sheet — fill in. [Image: No confirmed real source found yet — search by exact Apex model number once you have it.]</t>
  </si>
  <si>
    <t xml:space="preserve">Sennheiser EW 112-P G4-A Portable Lavalier Set</t>
  </si>
  <si>
    <t xml:space="preserve">https://www.long-mcquade.com/111871/Pro-Audio-Recording/Wireless-Systems/Sennheiser/EW-112P-G4-A-Portable-Lavalier-Set.htm</t>
  </si>
  <si>
    <t xml:space="preserve">[Image: Major retailer (B&amp;H)]</t>
  </si>
  <si>
    <t xml:space="preserve">https://www.bhphotovideo.com/c/product/1385595-REG/sennheiser_ew_112p_g4_a_ew_112p_g4_camera.html</t>
  </si>
  <si>
    <t xml:space="preserve">Podium mic (model TBD)</t>
  </si>
  <si>
    <t xml:space="preserve">Referenced in Panel/Conference + Recording/Hybrid Meeting packages but not in your price list — add real model/rate. [Image: No real model chosen yet — add an image source once you pick one.]</t>
  </si>
  <si>
    <t xml:space="preserve">Mixers &amp; Extras</t>
  </si>
  <si>
    <t xml:space="preserve">Yorkville 8-Channel Passive Mixer</t>
  </si>
  <si>
    <t xml:space="preserve">https://www.long-mcquade.com/17950/Pro-Audio-Recording/Mixers/Yorkville-Sound/8-Channel-Passive-Mixer.htm</t>
  </si>
  <si>
    <t xml:space="preserve">[Image: Manufacturer (Yorkville) — model PGM8]</t>
  </si>
  <si>
    <t xml:space="preserve">https://www.yorkville.com/mixers/passive/product/pgm8/</t>
  </si>
  <si>
    <t xml:space="preserve">Yorkville 14-Channel Compact Desk Mixer</t>
  </si>
  <si>
    <t xml:space="preserve">https://www.long-mcquade.com/20283/Pro-Audio-Recording/Mixers/Yorkville-Sound/14-Channel-Compact-Desk-Mixer.htm</t>
  </si>
  <si>
    <t xml:space="preserve">[Image: Manufacturer (Yorkville) — model VGM14]</t>
  </si>
  <si>
    <t xml:space="preserve">https://www.yorkville.com/mixers/passive/product/vgm14/</t>
  </si>
  <si>
    <t xml:space="preserve">Yorkville 24 Channel x 4 XLR Returns - 100 foot</t>
  </si>
  <si>
    <t xml:space="preserve">https://www.long-mcquade.com/4377/Pro-Audio-Recording/Cables/Yorkville-Sound/24-Channel-x-4-XLR-Returns-100-foot.htm</t>
  </si>
  <si>
    <t xml:space="preserve">Location column: only row 2 is filled in as an example — for the real multi-location build, each item would repeat one row per branch that stocks it, with its own availability.</t>
  </si>
  <si>
    <t xml:space="preserve">Package</t>
  </si>
  <si>
    <t xml:space="preserve">Item</t>
  </si>
  <si>
    <t xml:space="preserve">Qty</t>
  </si>
  <si>
    <t xml:space="preserve">Day Rate</t>
  </si>
  <si>
    <t xml:space="preserve">Line Day Cost</t>
  </si>
  <si>
    <t xml:space="preserve">Month Rate</t>
  </si>
  <si>
    <t xml:space="preserve">Line Month Cost</t>
  </si>
  <si>
    <t xml:space="preserve">Standard PA Package</t>
  </si>
  <si>
    <t xml:space="preserve">A classic 2-speaker PA for small bands, DJs, ceremonies or larger presentations. Good for small halls, community centres, gyms, etc.</t>
  </si>
  <si>
    <t xml:space="preserve">Computed Total (from Inventory rates above)</t>
  </si>
  <si>
    <t xml:space="preserve">As-quoted in your original sheet (reference)</t>
  </si>
  <si>
    <t xml:space="preserve">Panel/Conference Package</t>
  </si>
  <si>
    <t xml:space="preserve">Designed for panel discussions, town halls, board meetings and community forums where multiple people need mics — handhelds, table mics, podium, wireless lav.</t>
  </si>
  <si>
    <t xml:space="preserve">Note: Total will be short vs. your $105/$405 until Podium mic has a real rate — see Inventory.</t>
  </si>
  <si>
    <t xml:space="preserve">Recording/Hybrid Meeting Package</t>
  </si>
  <si>
    <t xml:space="preserve">For events that need to be recorded or streamed (Zoom/Teams/YouTube) as well as heard clearly in the room. Good for panels, lectures and town halls.</t>
  </si>
  <si>
    <t xml:space="preserve">Note: Your sheet showed $0.00 here (unfinished) — I added the Zoom Q8N recorder to the gear list since the Includes text names it and it's what makes this package different from Panel/Conference.</t>
  </si>
  <si>
    <t xml:space="preserve">Presentation + Projector Package</t>
  </si>
  <si>
    <t xml:space="preserve">Slides + sound. Ideal for keynotes, lectures, film nights or corporate presentations where you need both a big image and clear speech.</t>
  </si>
  <si>
    <t xml:space="preserve">Note: Matches your original total exactly.</t>
  </si>
  <si>
    <t xml:space="preserve">Event Type</t>
  </si>
  <si>
    <t xml:space="preserve">Guest Count</t>
  </si>
  <si>
    <t xml:space="preserve">Venue</t>
  </si>
  <si>
    <t xml:space="preserve">Watts/Guest (target)</t>
  </si>
  <si>
    <t xml:space="preserve">Speaker Count</t>
  </si>
  <si>
    <t xml:space="preserve">Sub Count</t>
  </si>
  <si>
    <t xml:space="preserve">Wireless Mics</t>
  </si>
  <si>
    <t xml:space="preserve">Wired Mics</t>
  </si>
  <si>
    <t xml:space="preserve">Mixer Ch. (min)</t>
  </si>
  <si>
    <t xml:space="preserve">Source / Notes</t>
  </si>
  <si>
    <t xml:space="preserve">Wedding ceremony</t>
  </si>
  <si>
    <t xml:space="preserve">&lt; 100</t>
  </si>
  <si>
    <t xml:space="preserve">Outdoor</t>
  </si>
  <si>
    <t xml:space="preserve">10–14</t>
  </si>
  <si>
    <t xml:space="preserve">0–1</t>
  </si>
  <si>
    <t xml:space="preserve">Outdoor multiplier roughly doubles indoor wattage/guest rule of thumb (no room reinforcement, inverse-square loss).</t>
  </si>
  <si>
    <t xml:space="preserve">Wedding reception</t>
  </si>
  <si>
    <t xml:space="preserve">100–200</t>
  </si>
  <si>
    <t xml:space="preserve">Indoor</t>
  </si>
  <si>
    <t xml:space="preserve">7–8</t>
  </si>
  <si>
    <t xml:space="preserve">Wired count assumes live tabla/keyboard/singer setup, matching your own gig rig.</t>
  </si>
  <si>
    <t xml:space="preserve">300–400</t>
  </si>
  <si>
    <t xml:space="preserve">6–8</t>
  </si>
  <si>
    <t xml:space="preserve">Cross-checked against your Aria Banquet Hall quote Q-2026-19 (2x PS15 tops + 2x 15" subs, 300–400 guests).</t>
  </si>
  <si>
    <t xml:space="preserve">Corporate speech / panel</t>
  </si>
  <si>
    <t xml:space="preserve">Any</t>
  </si>
  <si>
    <t xml:space="preserve">3–5</t>
  </si>
  <si>
    <t xml:space="preserve">3–4</t>
  </si>
  <si>
    <t xml:space="preserve">Speech-only content needs far less power per guest than music — clarity over output.</t>
  </si>
  <si>
    <t xml:space="preserve">DJ set / club night</t>
  </si>
  <si>
    <t xml:space="preserve">100–300</t>
  </si>
  <si>
    <t xml:space="preserve">8–12</t>
  </si>
  <si>
    <t xml:space="preserve">2–4</t>
  </si>
  <si>
    <t xml:space="preserve">Higher watts/guest for dance-floor content; add speakers past ~5,000 sq ft or delay stacks beyond 80–100 ft throw.</t>
  </si>
  <si>
    <t xml:space="preserve">Lighting fixture-count rules not yet drafted — decide fixture-count-by-guest-tier vs. uplighting-by-room-perimeter before adding a Lighting column here.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</si>
</sst>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0563C1"/>
      <name val="Arial"/>
      <family val="0"/>
      <charset val="1"/>
    </font>
    <font>
      <sz val="9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0563C1"/>
      </patternFill>
    </fill>
    <fill>
      <patternFill patternType="solid">
        <fgColor rgb="FFFFFF66"/>
        <bgColor rgb="FFFFFF00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6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5" t="s">
        <v>4</v>
      </c>
    </row>
    <row r="7" customFormat="false" ht="15" hidden="false" customHeight="true" outlineLevel="0" collapsed="false">
      <c r="A7" s="5" t="s">
        <v>5</v>
      </c>
    </row>
    <row r="8" customFormat="false" ht="15" hidden="false" customHeight="true" outlineLevel="0" collapsed="false">
      <c r="A8" s="5" t="s">
        <v>6</v>
      </c>
    </row>
    <row r="9" customFormat="false" ht="15" hidden="false" customHeight="true" outlineLevel="0" collapsed="false">
      <c r="A9" s="5" t="s">
        <v>7</v>
      </c>
    </row>
    <row r="10" customFormat="false" ht="15" hidden="false" customHeight="true" outlineLevel="0" collapsed="false">
      <c r="A10" s="5"/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5" t="s">
        <v>9</v>
      </c>
    </row>
    <row r="13" customFormat="false" ht="15" hidden="false" customHeight="true" outlineLevel="0" collapsed="false">
      <c r="A13" s="5" t="s">
        <v>10</v>
      </c>
    </row>
    <row r="14" customFormat="false" ht="15" hidden="false" customHeight="true" outlineLevel="0" collapsed="false">
      <c r="A14" s="5" t="s">
        <v>11</v>
      </c>
    </row>
    <row r="15" customFormat="false" ht="15" hidden="false" customHeight="true" outlineLevel="0" collapsed="false">
      <c r="A15" s="5" t="s">
        <v>12</v>
      </c>
    </row>
    <row r="16" customFormat="false" ht="15" hidden="false" customHeight="true" outlineLevel="0" collapsed="false">
      <c r="A16" s="5" t="s">
        <v>13</v>
      </c>
    </row>
    <row r="17" customFormat="false" ht="15" hidden="false" customHeight="true" outlineLevel="0" collapsed="false">
      <c r="A17" s="5" t="s">
        <v>14</v>
      </c>
    </row>
    <row r="18" customFormat="false" ht="15" hidden="false" customHeight="true" outlineLevel="0" collapsed="false">
      <c r="A18" s="5"/>
    </row>
    <row r="19" customFormat="false" ht="15" hidden="false" customHeight="true" outlineLevel="0" collapsed="false">
      <c r="A19" s="4" t="s">
        <v>15</v>
      </c>
    </row>
    <row r="20" customFormat="false" ht="15" hidden="false" customHeight="true" outlineLevel="0" collapsed="false">
      <c r="A20" s="5" t="s">
        <v>16</v>
      </c>
    </row>
    <row r="21" customFormat="false" ht="15" hidden="false" customHeight="true" outlineLevel="0" collapsed="false">
      <c r="A21" s="5" t="s">
        <v>17</v>
      </c>
    </row>
    <row r="22" customFormat="false" ht="15" hidden="false" customHeight="true" outlineLevel="0" collapsed="false">
      <c r="A22" s="5"/>
    </row>
    <row r="23" customFormat="false" ht="15" hidden="false" customHeight="true" outlineLevel="0" collapsed="false">
      <c r="A23" s="4" t="s">
        <v>18</v>
      </c>
    </row>
    <row r="24" customFormat="false" ht="15" hidden="false" customHeight="true" outlineLevel="0" collapsed="false">
      <c r="A24" s="5" t="s">
        <v>19</v>
      </c>
    </row>
    <row r="25" customFormat="false" ht="15" hidden="false" customHeight="true" outlineLevel="0" collapsed="false">
      <c r="A25" s="5" t="s">
        <v>20</v>
      </c>
    </row>
    <row r="26" customFormat="false" ht="15" hidden="false" customHeight="true" outlineLevel="0" collapsed="false">
      <c r="A26" s="5" t="s">
        <v>21</v>
      </c>
    </row>
    <row r="27" customFormat="false" ht="15" hidden="false" customHeight="true" outlineLevel="0" collapsed="false">
      <c r="A27" s="5" t="s">
        <v>22</v>
      </c>
    </row>
    <row r="28" customFormat="false" ht="15" hidden="false" customHeight="true" outlineLevel="0" collapsed="false">
      <c r="A28" s="5" t="s">
        <v>23</v>
      </c>
    </row>
    <row r="29" customFormat="false" ht="15" hidden="false" customHeight="true" outlineLevel="0" collapsed="false">
      <c r="A29" s="5" t="s">
        <v>24</v>
      </c>
    </row>
    <row r="30" customFormat="false" ht="15" hidden="false" customHeight="true" outlineLevel="0" collapsed="false">
      <c r="A30" s="5" t="s">
        <v>25</v>
      </c>
    </row>
    <row r="31" customFormat="false" ht="15" hidden="false" customHeight="true" outlineLevel="0" collapsed="false">
      <c r="A31" s="5" t="s">
        <v>26</v>
      </c>
    </row>
    <row r="32" customFormat="false" ht="15" hidden="false" customHeight="true" outlineLevel="0" collapsed="false">
      <c r="A32" s="5" t="s">
        <v>27</v>
      </c>
    </row>
    <row r="33" customFormat="false" ht="15" hidden="false" customHeight="true" outlineLevel="0" collapsed="false">
      <c r="A33" s="5" t="s">
        <v>28</v>
      </c>
    </row>
    <row r="34" customFormat="false" ht="15" hidden="false" customHeight="true" outlineLevel="0" collapsed="false">
      <c r="A34" s="5" t="s">
        <v>29</v>
      </c>
    </row>
    <row r="36" customFormat="false" ht="15" hidden="false" customHeight="false" outlineLevel="0" collapsed="false">
      <c r="A36" s="6" t="s">
        <v>30</v>
      </c>
    </row>
    <row r="37" customFormat="false" ht="15" hidden="false" customHeight="false" outlineLevel="0" collapsed="false">
      <c r="A37" s="6" t="s">
        <v>31</v>
      </c>
    </row>
    <row r="38" customFormat="false" ht="15" hidden="false" customHeight="false" outlineLevel="0" collapsed="false">
      <c r="A38" s="6" t="s">
        <v>32</v>
      </c>
    </row>
    <row r="39" customFormat="false" ht="15" hidden="false" customHeight="false" outlineLevel="0" collapsed="false">
      <c r="A39" s="6" t="s">
        <v>33</v>
      </c>
    </row>
    <row r="40" customFormat="false" ht="15" hidden="false" customHeight="false" outlineLevel="0" collapsed="false">
      <c r="A40" s="6" t="s">
        <v>34</v>
      </c>
    </row>
    <row r="41" customFormat="false" ht="15" hidden="false" customHeight="false" outlineLevel="0" collapsed="false">
      <c r="A41" s="6" t="s">
        <v>35</v>
      </c>
    </row>
    <row r="42" customFormat="false" ht="15" hidden="false" customHeight="false" outlineLevel="0" collapsed="false">
      <c r="A42" s="6" t="s">
        <v>36</v>
      </c>
    </row>
    <row r="43" customFormat="false" ht="15" hidden="false" customHeight="false" outlineLevel="0" collapsed="false">
      <c r="A43" s="6"/>
    </row>
    <row r="44" customFormat="false" ht="15" hidden="false" customHeight="false" outlineLevel="0" collapsed="false">
      <c r="A44" s="6" t="s">
        <v>37</v>
      </c>
    </row>
    <row r="45" customFormat="false" ht="15" hidden="false" customHeight="false" outlineLevel="0" collapsed="false">
      <c r="A45" s="6" t="s">
        <v>38</v>
      </c>
    </row>
    <row r="46" customFormat="false" ht="15" hidden="false" customHeight="false" outlineLevel="0" collapsed="false">
      <c r="A46" s="6" t="s">
        <v>39</v>
      </c>
    </row>
    <row r="47" customFormat="false" ht="15" hidden="false" customHeight="false" outlineLevel="0" collapsed="false">
      <c r="A47" s="6"/>
    </row>
    <row r="48" customFormat="false" ht="15" hidden="false" customHeight="false" outlineLevel="0" collapsed="false">
      <c r="A48" s="6" t="s">
        <v>40</v>
      </c>
    </row>
    <row r="49" customFormat="false" ht="15" hidden="false" customHeight="false" outlineLevel="0" collapsed="false">
      <c r="A49" s="6" t="s">
        <v>41</v>
      </c>
    </row>
    <row r="50" customFormat="false" ht="15" hidden="false" customHeight="false" outlineLevel="0" collapsed="false">
      <c r="A50" s="6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2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20"/>
    <col collapsed="false" customWidth="true" hidden="false" outlineLevel="0" max="6" min="6" style="1" width="60"/>
    <col collapsed="false" customWidth="true" hidden="false" outlineLevel="0" max="7" min="7" style="1" width="70"/>
    <col collapsed="false" customWidth="true" hidden="false" outlineLevel="0" max="8" min="8" style="1" width="65"/>
  </cols>
  <sheetData>
    <row r="1" customFormat="false" ht="26.25" hidden="false" customHeight="true" outlineLevel="0" collapsed="false">
      <c r="A1" s="7" t="s">
        <v>43</v>
      </c>
      <c r="B1" s="7" t="s">
        <v>44</v>
      </c>
      <c r="C1" s="7" t="s">
        <v>45</v>
      </c>
      <c r="D1" s="7" t="s">
        <v>46</v>
      </c>
      <c r="E1" s="7" t="s">
        <v>47</v>
      </c>
      <c r="F1" s="7" t="s">
        <v>48</v>
      </c>
      <c r="G1" s="7" t="s">
        <v>49</v>
      </c>
      <c r="H1" s="8" t="s">
        <v>50</v>
      </c>
    </row>
    <row r="2" customFormat="false" ht="15" hidden="false" customHeight="true" outlineLevel="0" collapsed="false">
      <c r="A2" s="9" t="s">
        <v>51</v>
      </c>
      <c r="B2" s="9" t="s">
        <v>52</v>
      </c>
      <c r="C2" s="10" t="n">
        <v>11</v>
      </c>
      <c r="D2" s="10" t="n">
        <v>43</v>
      </c>
      <c r="E2" s="11" t="s">
        <v>53</v>
      </c>
      <c r="F2" s="12" t="s">
        <v>54</v>
      </c>
      <c r="G2" s="11" t="s">
        <v>55</v>
      </c>
      <c r="H2" s="13" t="s">
        <v>56</v>
      </c>
    </row>
    <row r="3" customFormat="false" ht="15" hidden="false" customHeight="true" outlineLevel="0" collapsed="false">
      <c r="A3" s="9" t="s">
        <v>51</v>
      </c>
      <c r="B3" s="9" t="s">
        <v>57</v>
      </c>
      <c r="C3" s="10" t="n">
        <v>25</v>
      </c>
      <c r="D3" s="10" t="n">
        <v>100</v>
      </c>
      <c r="E3" s="14"/>
      <c r="F3" s="12" t="s">
        <v>58</v>
      </c>
      <c r="G3" s="11" t="s">
        <v>55</v>
      </c>
      <c r="H3" s="13" t="s">
        <v>59</v>
      </c>
    </row>
    <row r="4" customFormat="false" ht="15" hidden="false" customHeight="true" outlineLevel="0" collapsed="false">
      <c r="A4" s="9" t="s">
        <v>51</v>
      </c>
      <c r="B4" s="9" t="s">
        <v>60</v>
      </c>
      <c r="C4" s="10" t="n">
        <v>2</v>
      </c>
      <c r="D4" s="10" t="n">
        <v>7</v>
      </c>
      <c r="E4" s="14"/>
      <c r="F4" s="12" t="s">
        <v>61</v>
      </c>
      <c r="G4" s="11" t="s">
        <v>62</v>
      </c>
      <c r="H4" s="13" t="s">
        <v>63</v>
      </c>
    </row>
    <row r="5" customFormat="false" ht="15" hidden="false" customHeight="true" outlineLevel="0" collapsed="false">
      <c r="A5" s="9" t="s">
        <v>64</v>
      </c>
      <c r="B5" s="9" t="s">
        <v>65</v>
      </c>
      <c r="C5" s="10" t="n">
        <v>63</v>
      </c>
      <c r="D5" s="10" t="n">
        <v>250</v>
      </c>
      <c r="E5" s="14"/>
      <c r="F5" s="12" t="s">
        <v>66</v>
      </c>
      <c r="G5" s="11" t="s">
        <v>67</v>
      </c>
      <c r="H5" s="13" t="s">
        <v>68</v>
      </c>
    </row>
    <row r="6" customFormat="false" ht="15" hidden="false" customHeight="true" outlineLevel="0" collapsed="false">
      <c r="A6" s="9" t="s">
        <v>64</v>
      </c>
      <c r="B6" s="9" t="s">
        <v>69</v>
      </c>
      <c r="C6" s="15"/>
      <c r="D6" s="15"/>
      <c r="E6" s="14"/>
      <c r="F6" s="12"/>
      <c r="G6" s="11" t="s">
        <v>70</v>
      </c>
      <c r="H6" s="16" t="s">
        <v>71</v>
      </c>
    </row>
    <row r="7" customFormat="false" ht="15" hidden="false" customHeight="true" outlineLevel="0" collapsed="false">
      <c r="A7" s="9" t="s">
        <v>64</v>
      </c>
      <c r="B7" s="9" t="s">
        <v>72</v>
      </c>
      <c r="C7" s="10" t="n">
        <v>15</v>
      </c>
      <c r="D7" s="10" t="n">
        <v>60</v>
      </c>
      <c r="E7" s="14"/>
      <c r="F7" s="12" t="s">
        <v>73</v>
      </c>
      <c r="G7" s="11" t="s">
        <v>62</v>
      </c>
      <c r="H7" s="13" t="s">
        <v>73</v>
      </c>
    </row>
    <row r="8" customFormat="false" ht="15" hidden="false" customHeight="true" outlineLevel="0" collapsed="false">
      <c r="A8" s="9" t="s">
        <v>64</v>
      </c>
      <c r="B8" s="9" t="s">
        <v>74</v>
      </c>
      <c r="C8" s="10" t="n">
        <v>20</v>
      </c>
      <c r="D8" s="10" t="n">
        <v>80</v>
      </c>
      <c r="E8" s="14"/>
      <c r="F8" s="12" t="s">
        <v>75</v>
      </c>
      <c r="G8" s="11" t="s">
        <v>62</v>
      </c>
      <c r="H8" s="13" t="s">
        <v>75</v>
      </c>
    </row>
    <row r="9" customFormat="false" ht="15" hidden="false" customHeight="true" outlineLevel="0" collapsed="false">
      <c r="A9" s="9" t="s">
        <v>64</v>
      </c>
      <c r="B9" s="9" t="s">
        <v>76</v>
      </c>
      <c r="C9" s="10" t="n">
        <v>13</v>
      </c>
      <c r="D9" s="10" t="n">
        <v>50</v>
      </c>
      <c r="E9" s="14"/>
      <c r="F9" s="12" t="s">
        <v>77</v>
      </c>
      <c r="G9" s="11" t="s">
        <v>78</v>
      </c>
      <c r="H9" s="13" t="s">
        <v>79</v>
      </c>
    </row>
    <row r="10" customFormat="false" ht="15" hidden="false" customHeight="true" outlineLevel="0" collapsed="false">
      <c r="A10" s="9" t="s">
        <v>80</v>
      </c>
      <c r="B10" s="9" t="s">
        <v>81</v>
      </c>
      <c r="C10" s="10" t="n">
        <v>5</v>
      </c>
      <c r="D10" s="10" t="n">
        <v>18</v>
      </c>
      <c r="E10" s="14"/>
      <c r="F10" s="12" t="s">
        <v>82</v>
      </c>
      <c r="G10" s="11" t="s">
        <v>62</v>
      </c>
      <c r="H10" s="13" t="s">
        <v>82</v>
      </c>
    </row>
    <row r="11" customFormat="false" ht="15" hidden="false" customHeight="true" outlineLevel="0" collapsed="false">
      <c r="A11" s="9" t="s">
        <v>80</v>
      </c>
      <c r="B11" s="9" t="s">
        <v>83</v>
      </c>
      <c r="C11" s="15"/>
      <c r="D11" s="15"/>
      <c r="E11" s="14"/>
      <c r="F11" s="12" t="s">
        <v>82</v>
      </c>
      <c r="G11" s="11" t="s">
        <v>84</v>
      </c>
      <c r="H11" s="13" t="s">
        <v>85</v>
      </c>
    </row>
    <row r="12" customFormat="false" ht="15" hidden="false" customHeight="true" outlineLevel="0" collapsed="false">
      <c r="A12" s="9" t="s">
        <v>80</v>
      </c>
      <c r="B12" s="9" t="s">
        <v>86</v>
      </c>
      <c r="C12" s="15"/>
      <c r="D12" s="15"/>
      <c r="E12" s="14"/>
      <c r="F12" s="12" t="s">
        <v>87</v>
      </c>
      <c r="G12" s="11" t="s">
        <v>88</v>
      </c>
      <c r="H12" s="13" t="s">
        <v>87</v>
      </c>
    </row>
    <row r="13" customFormat="false" ht="15" hidden="false" customHeight="true" outlineLevel="0" collapsed="false">
      <c r="A13" s="9" t="s">
        <v>80</v>
      </c>
      <c r="B13" s="9" t="s">
        <v>89</v>
      </c>
      <c r="C13" s="10" t="n">
        <v>4</v>
      </c>
      <c r="D13" s="10" t="n">
        <v>15</v>
      </c>
      <c r="E13" s="14"/>
      <c r="F13" s="12"/>
      <c r="G13" s="11" t="s">
        <v>90</v>
      </c>
      <c r="H13" s="16" t="s">
        <v>71</v>
      </c>
    </row>
    <row r="14" customFormat="false" ht="15" hidden="false" customHeight="true" outlineLevel="0" collapsed="false">
      <c r="A14" s="9" t="s">
        <v>80</v>
      </c>
      <c r="B14" s="9" t="s">
        <v>91</v>
      </c>
      <c r="C14" s="10" t="n">
        <v>18</v>
      </c>
      <c r="D14" s="10" t="n">
        <v>70</v>
      </c>
      <c r="E14" s="14"/>
      <c r="F14" s="12" t="s">
        <v>92</v>
      </c>
      <c r="G14" s="11" t="s">
        <v>93</v>
      </c>
      <c r="H14" s="13" t="s">
        <v>94</v>
      </c>
    </row>
    <row r="15" customFormat="false" ht="15" hidden="false" customHeight="true" outlineLevel="0" collapsed="false">
      <c r="A15" s="9" t="s">
        <v>80</v>
      </c>
      <c r="B15" s="9" t="s">
        <v>95</v>
      </c>
      <c r="C15" s="15"/>
      <c r="D15" s="15"/>
      <c r="E15" s="14"/>
      <c r="F15" s="12"/>
      <c r="G15" s="11" t="s">
        <v>96</v>
      </c>
      <c r="H15" s="16" t="s">
        <v>71</v>
      </c>
    </row>
    <row r="16" customFormat="false" ht="15" hidden="false" customHeight="true" outlineLevel="0" collapsed="false">
      <c r="A16" s="9" t="s">
        <v>97</v>
      </c>
      <c r="B16" s="9" t="s">
        <v>98</v>
      </c>
      <c r="C16" s="10" t="n">
        <v>6</v>
      </c>
      <c r="D16" s="10" t="n">
        <v>23</v>
      </c>
      <c r="E16" s="14"/>
      <c r="F16" s="12" t="s">
        <v>99</v>
      </c>
      <c r="G16" s="11" t="s">
        <v>100</v>
      </c>
      <c r="H16" s="13" t="s">
        <v>101</v>
      </c>
    </row>
    <row r="17" customFormat="false" ht="15" hidden="false" customHeight="true" outlineLevel="0" collapsed="false">
      <c r="A17" s="9" t="s">
        <v>97</v>
      </c>
      <c r="B17" s="9" t="s">
        <v>102</v>
      </c>
      <c r="C17" s="10" t="n">
        <v>9</v>
      </c>
      <c r="D17" s="10" t="n">
        <v>35</v>
      </c>
      <c r="E17" s="14"/>
      <c r="F17" s="12" t="s">
        <v>103</v>
      </c>
      <c r="G17" s="11" t="s">
        <v>104</v>
      </c>
      <c r="H17" s="13" t="s">
        <v>105</v>
      </c>
    </row>
    <row r="18" customFormat="false" ht="15" hidden="false" customHeight="true" outlineLevel="0" collapsed="false">
      <c r="A18" s="9" t="s">
        <v>97</v>
      </c>
      <c r="B18" s="9" t="s">
        <v>106</v>
      </c>
      <c r="C18" s="10" t="n">
        <v>17</v>
      </c>
      <c r="D18" s="10" t="n">
        <v>68</v>
      </c>
      <c r="E18" s="14"/>
      <c r="F18" s="12" t="s">
        <v>107</v>
      </c>
      <c r="G18" s="11" t="s">
        <v>62</v>
      </c>
      <c r="H18" s="13" t="s">
        <v>107</v>
      </c>
    </row>
    <row r="20" customFormat="false" ht="15" hidden="false" customHeight="true" outlineLevel="0" collapsed="false">
      <c r="A20" s="17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2"/>
    <col collapsed="false" customWidth="true" hidden="false" outlineLevel="0" max="3" min="3" style="1" width="6"/>
    <col collapsed="false" customWidth="true" hidden="false" outlineLevel="0" max="4" min="4" style="1" width="11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7" min="7" style="1" width="13"/>
  </cols>
  <sheetData>
    <row r="1" customFormat="false" ht="26.25" hidden="false" customHeight="true" outlineLevel="0" collapsed="false">
      <c r="A1" s="7" t="s">
        <v>109</v>
      </c>
      <c r="B1" s="7" t="s">
        <v>110</v>
      </c>
      <c r="C1" s="7" t="s">
        <v>111</v>
      </c>
      <c r="D1" s="7" t="s">
        <v>112</v>
      </c>
      <c r="E1" s="7" t="s">
        <v>113</v>
      </c>
      <c r="F1" s="7" t="s">
        <v>114</v>
      </c>
      <c r="G1" s="7" t="s">
        <v>115</v>
      </c>
    </row>
    <row r="2" customFormat="false" ht="15" hidden="false" customHeight="true" outlineLevel="0" collapsed="false">
      <c r="A2" s="18" t="s">
        <v>116</v>
      </c>
      <c r="B2" s="19"/>
      <c r="C2" s="19"/>
      <c r="D2" s="19"/>
      <c r="E2" s="19"/>
      <c r="F2" s="19"/>
      <c r="G2" s="19"/>
    </row>
    <row r="3" customFormat="false" ht="15" hidden="false" customHeight="true" outlineLevel="0" collapsed="false">
      <c r="A3" s="20" t="s">
        <v>117</v>
      </c>
      <c r="B3" s="20"/>
      <c r="C3" s="20"/>
      <c r="D3" s="20"/>
      <c r="E3" s="20"/>
      <c r="F3" s="20"/>
      <c r="G3" s="20"/>
    </row>
    <row r="4" customFormat="false" ht="15" hidden="false" customHeight="true" outlineLevel="0" collapsed="false">
      <c r="A4" s="21" t="s">
        <v>116</v>
      </c>
      <c r="B4" s="9" t="s">
        <v>52</v>
      </c>
      <c r="C4" s="22" t="n">
        <v>2</v>
      </c>
      <c r="D4" s="23" t="n">
        <f aca="false">Inventory!C2</f>
        <v>11</v>
      </c>
      <c r="E4" s="23" t="n">
        <f aca="false">IF(D4="",0,C4*D4)</f>
        <v>22</v>
      </c>
      <c r="F4" s="23" t="n">
        <f aca="false">Inventory!D2</f>
        <v>43</v>
      </c>
      <c r="G4" s="23" t="n">
        <f aca="false">IF(F4="",0,C4*F4)</f>
        <v>86</v>
      </c>
    </row>
    <row r="5" customFormat="false" ht="15" hidden="false" customHeight="true" outlineLevel="0" collapsed="false">
      <c r="A5" s="21" t="s">
        <v>116</v>
      </c>
      <c r="B5" s="9" t="s">
        <v>102</v>
      </c>
      <c r="C5" s="22" t="n">
        <v>1</v>
      </c>
      <c r="D5" s="23" t="n">
        <f aca="false">Inventory!C17</f>
        <v>9</v>
      </c>
      <c r="E5" s="23" t="n">
        <f aca="false">IF(D5="",0,C5*D5)</f>
        <v>9</v>
      </c>
      <c r="F5" s="23" t="n">
        <f aca="false">Inventory!D17</f>
        <v>35</v>
      </c>
      <c r="G5" s="23" t="n">
        <f aca="false">IF(F5="",0,C5*F5)</f>
        <v>35</v>
      </c>
    </row>
    <row r="6" customFormat="false" ht="15" hidden="false" customHeight="true" outlineLevel="0" collapsed="false">
      <c r="A6" s="21" t="s">
        <v>116</v>
      </c>
      <c r="B6" s="9" t="s">
        <v>81</v>
      </c>
      <c r="C6" s="22" t="n">
        <v>2</v>
      </c>
      <c r="D6" s="23" t="n">
        <f aca="false">Inventory!C10</f>
        <v>5</v>
      </c>
      <c r="E6" s="23" t="n">
        <f aca="false">IF(D6="",0,C6*D6)</f>
        <v>10</v>
      </c>
      <c r="F6" s="23" t="n">
        <f aca="false">Inventory!D10</f>
        <v>18</v>
      </c>
      <c r="G6" s="23" t="n">
        <f aca="false">IF(F6="",0,C6*F6)</f>
        <v>36</v>
      </c>
    </row>
    <row r="7" customFormat="false" ht="15" hidden="false" customHeight="true" outlineLevel="0" collapsed="false">
      <c r="A7" s="21" t="s">
        <v>116</v>
      </c>
      <c r="B7" s="9" t="s">
        <v>60</v>
      </c>
      <c r="C7" s="22" t="n">
        <v>2</v>
      </c>
      <c r="D7" s="23" t="n">
        <f aca="false">Inventory!C4</f>
        <v>2</v>
      </c>
      <c r="E7" s="23" t="n">
        <f aca="false">IF(D7="",0,C7*D7)</f>
        <v>4</v>
      </c>
      <c r="F7" s="23" t="n">
        <f aca="false">Inventory!D4</f>
        <v>7</v>
      </c>
      <c r="G7" s="23" t="n">
        <f aca="false">IF(F7="",0,C7*F7)</f>
        <v>14</v>
      </c>
    </row>
    <row r="8" customFormat="false" ht="15" hidden="false" customHeight="true" outlineLevel="0" collapsed="false">
      <c r="A8" s="24"/>
      <c r="B8" s="25" t="s">
        <v>118</v>
      </c>
      <c r="C8" s="24"/>
      <c r="D8" s="24"/>
      <c r="E8" s="26" t="n">
        <f aca="false">SUM(E4:E7)</f>
        <v>45</v>
      </c>
      <c r="F8" s="24"/>
      <c r="G8" s="26" t="n">
        <f aca="false">SUM(G4:G7)</f>
        <v>171</v>
      </c>
    </row>
    <row r="9" customFormat="false" ht="15" hidden="false" customHeight="true" outlineLevel="0" collapsed="false">
      <c r="B9" s="17" t="s">
        <v>119</v>
      </c>
      <c r="E9" s="27" t="n">
        <v>73</v>
      </c>
      <c r="G9" s="27" t="n">
        <v>285</v>
      </c>
    </row>
    <row r="11" customFormat="false" ht="15" hidden="false" customHeight="true" outlineLevel="0" collapsed="false">
      <c r="A11" s="18" t="s">
        <v>120</v>
      </c>
      <c r="B11" s="19"/>
      <c r="C11" s="19"/>
      <c r="D11" s="19"/>
      <c r="E11" s="19"/>
      <c r="F11" s="19"/>
      <c r="G11" s="19"/>
    </row>
    <row r="12" customFormat="false" ht="15" hidden="false" customHeight="true" outlineLevel="0" collapsed="false">
      <c r="A12" s="20" t="s">
        <v>121</v>
      </c>
      <c r="B12" s="20"/>
      <c r="C12" s="20"/>
      <c r="D12" s="20"/>
      <c r="E12" s="20"/>
      <c r="F12" s="20"/>
      <c r="G12" s="20"/>
    </row>
    <row r="13" customFormat="false" ht="15" hidden="false" customHeight="true" outlineLevel="0" collapsed="false">
      <c r="A13" s="21" t="s">
        <v>120</v>
      </c>
      <c r="B13" s="9" t="s">
        <v>52</v>
      </c>
      <c r="C13" s="22" t="n">
        <v>2</v>
      </c>
      <c r="D13" s="23" t="n">
        <f aca="false">Inventory!C2</f>
        <v>11</v>
      </c>
      <c r="E13" s="23" t="n">
        <f aca="false">IF(D13="",0,C13*D13)</f>
        <v>22</v>
      </c>
      <c r="F13" s="23" t="n">
        <f aca="false">Inventory!D2</f>
        <v>43</v>
      </c>
      <c r="G13" s="23" t="n">
        <f aca="false">IF(F13="",0,C13*F13)</f>
        <v>86</v>
      </c>
    </row>
    <row r="14" customFormat="false" ht="15" hidden="false" customHeight="true" outlineLevel="0" collapsed="false">
      <c r="A14" s="21" t="s">
        <v>120</v>
      </c>
      <c r="B14" s="9" t="s">
        <v>102</v>
      </c>
      <c r="C14" s="22" t="n">
        <v>1</v>
      </c>
      <c r="D14" s="23" t="n">
        <f aca="false">Inventory!C17</f>
        <v>9</v>
      </c>
      <c r="E14" s="23" t="n">
        <f aca="false">IF(D14="",0,C14*D14)</f>
        <v>9</v>
      </c>
      <c r="F14" s="23" t="n">
        <f aca="false">Inventory!D17</f>
        <v>35</v>
      </c>
      <c r="G14" s="23" t="n">
        <f aca="false">IF(F14="",0,C14*F14)</f>
        <v>35</v>
      </c>
    </row>
    <row r="15" customFormat="false" ht="15" hidden="false" customHeight="true" outlineLevel="0" collapsed="false">
      <c r="A15" s="21" t="s">
        <v>120</v>
      </c>
      <c r="B15" s="9" t="s">
        <v>81</v>
      </c>
      <c r="C15" s="22" t="n">
        <v>3</v>
      </c>
      <c r="D15" s="23" t="n">
        <f aca="false">Inventory!C10</f>
        <v>5</v>
      </c>
      <c r="E15" s="23" t="n">
        <f aca="false">IF(D15="",0,C15*D15)</f>
        <v>15</v>
      </c>
      <c r="F15" s="23" t="n">
        <f aca="false">Inventory!D10</f>
        <v>18</v>
      </c>
      <c r="G15" s="23" t="n">
        <f aca="false">IF(F15="",0,C15*F15)</f>
        <v>54</v>
      </c>
    </row>
    <row r="16" customFormat="false" ht="15" hidden="false" customHeight="true" outlineLevel="0" collapsed="false">
      <c r="A16" s="21" t="s">
        <v>120</v>
      </c>
      <c r="B16" s="9" t="s">
        <v>95</v>
      </c>
      <c r="C16" s="22" t="n">
        <v>1</v>
      </c>
      <c r="D16" s="23" t="n">
        <f aca="false">Inventory!C15</f>
        <v>0</v>
      </c>
      <c r="E16" s="23" t="n">
        <f aca="false">IF(D16="",0,C16*D16)</f>
        <v>0</v>
      </c>
      <c r="F16" s="23" t="n">
        <f aca="false">Inventory!D15</f>
        <v>0</v>
      </c>
      <c r="G16" s="23" t="n">
        <f aca="false">IF(F16="",0,C16*F16)</f>
        <v>0</v>
      </c>
    </row>
    <row r="17" customFormat="false" ht="15" hidden="false" customHeight="true" outlineLevel="0" collapsed="false">
      <c r="A17" s="21" t="s">
        <v>120</v>
      </c>
      <c r="B17" s="9" t="s">
        <v>91</v>
      </c>
      <c r="C17" s="22" t="n">
        <v>1</v>
      </c>
      <c r="D17" s="23" t="n">
        <f aca="false">Inventory!C14</f>
        <v>18</v>
      </c>
      <c r="E17" s="23" t="n">
        <f aca="false">IF(D17="",0,C17*D17)</f>
        <v>18</v>
      </c>
      <c r="F17" s="23" t="n">
        <f aca="false">Inventory!D14</f>
        <v>70</v>
      </c>
      <c r="G17" s="23" t="n">
        <f aca="false">IF(F17="",0,C17*F17)</f>
        <v>70</v>
      </c>
    </row>
    <row r="18" customFormat="false" ht="15" hidden="false" customHeight="true" outlineLevel="0" collapsed="false">
      <c r="A18" s="21" t="s">
        <v>120</v>
      </c>
      <c r="B18" s="9" t="s">
        <v>60</v>
      </c>
      <c r="C18" s="22" t="n">
        <v>3</v>
      </c>
      <c r="D18" s="23" t="n">
        <f aca="false">Inventory!C4</f>
        <v>2</v>
      </c>
      <c r="E18" s="23" t="n">
        <f aca="false">IF(D18="",0,C18*D18)</f>
        <v>6</v>
      </c>
      <c r="F18" s="23" t="n">
        <f aca="false">Inventory!D4</f>
        <v>7</v>
      </c>
      <c r="G18" s="23" t="n">
        <f aca="false">IF(F18="",0,C18*F18)</f>
        <v>21</v>
      </c>
    </row>
    <row r="19" customFormat="false" ht="15" hidden="false" customHeight="true" outlineLevel="0" collapsed="false">
      <c r="A19" s="24"/>
      <c r="B19" s="25" t="s">
        <v>118</v>
      </c>
      <c r="C19" s="24"/>
      <c r="D19" s="24"/>
      <c r="E19" s="26" t="n">
        <f aca="false">SUM(E13:E18)</f>
        <v>70</v>
      </c>
      <c r="F19" s="24"/>
      <c r="G19" s="26" t="n">
        <f aca="false">SUM(G13:G18)</f>
        <v>266</v>
      </c>
    </row>
    <row r="20" customFormat="false" ht="15" hidden="false" customHeight="true" outlineLevel="0" collapsed="false">
      <c r="B20" s="17" t="s">
        <v>119</v>
      </c>
      <c r="E20" s="27" t="n">
        <v>105</v>
      </c>
      <c r="G20" s="27" t="n">
        <v>405</v>
      </c>
    </row>
    <row r="21" customFormat="false" ht="15" hidden="false" customHeight="true" outlineLevel="0" collapsed="false">
      <c r="A21" s="20" t="s">
        <v>122</v>
      </c>
      <c r="B21" s="20"/>
      <c r="C21" s="20"/>
      <c r="D21" s="20"/>
      <c r="E21" s="20"/>
      <c r="F21" s="20"/>
      <c r="G21" s="20"/>
    </row>
    <row r="23" customFormat="false" ht="15" hidden="false" customHeight="true" outlineLevel="0" collapsed="false">
      <c r="A23" s="18" t="s">
        <v>123</v>
      </c>
      <c r="B23" s="19"/>
      <c r="C23" s="19"/>
      <c r="D23" s="19"/>
      <c r="E23" s="19"/>
      <c r="F23" s="19"/>
      <c r="G23" s="19"/>
    </row>
    <row r="24" customFormat="false" ht="15" hidden="false" customHeight="true" outlineLevel="0" collapsed="false">
      <c r="A24" s="20" t="s">
        <v>124</v>
      </c>
      <c r="B24" s="20"/>
      <c r="C24" s="20"/>
      <c r="D24" s="20"/>
      <c r="E24" s="20"/>
      <c r="F24" s="20"/>
      <c r="G24" s="20"/>
    </row>
    <row r="25" customFormat="false" ht="15" hidden="false" customHeight="true" outlineLevel="0" collapsed="false">
      <c r="A25" s="21" t="s">
        <v>123</v>
      </c>
      <c r="B25" s="9" t="s">
        <v>52</v>
      </c>
      <c r="C25" s="22" t="n">
        <v>2</v>
      </c>
      <c r="D25" s="23" t="n">
        <f aca="false">Inventory!C2</f>
        <v>11</v>
      </c>
      <c r="E25" s="23" t="n">
        <f aca="false">IF(D25="",0,C25*D25)</f>
        <v>22</v>
      </c>
      <c r="F25" s="23" t="n">
        <f aca="false">Inventory!D2</f>
        <v>43</v>
      </c>
      <c r="G25" s="23" t="n">
        <f aca="false">IF(F25="",0,C25*F25)</f>
        <v>86</v>
      </c>
    </row>
    <row r="26" customFormat="false" ht="15" hidden="false" customHeight="true" outlineLevel="0" collapsed="false">
      <c r="A26" s="21" t="s">
        <v>123</v>
      </c>
      <c r="B26" s="9" t="s">
        <v>102</v>
      </c>
      <c r="C26" s="22" t="n">
        <v>1</v>
      </c>
      <c r="D26" s="23" t="n">
        <f aca="false">Inventory!C17</f>
        <v>9</v>
      </c>
      <c r="E26" s="23" t="n">
        <f aca="false">IF(D26="",0,C26*D26)</f>
        <v>9</v>
      </c>
      <c r="F26" s="23" t="n">
        <f aca="false">Inventory!D17</f>
        <v>35</v>
      </c>
      <c r="G26" s="23" t="n">
        <f aca="false">IF(F26="",0,C26*F26)</f>
        <v>35</v>
      </c>
    </row>
    <row r="27" customFormat="false" ht="15" hidden="false" customHeight="true" outlineLevel="0" collapsed="false">
      <c r="A27" s="21" t="s">
        <v>123</v>
      </c>
      <c r="B27" s="9" t="s">
        <v>81</v>
      </c>
      <c r="C27" s="22" t="n">
        <v>1</v>
      </c>
      <c r="D27" s="23" t="n">
        <f aca="false">Inventory!C10</f>
        <v>5</v>
      </c>
      <c r="E27" s="23" t="n">
        <f aca="false">IF(D27="",0,C27*D27)</f>
        <v>5</v>
      </c>
      <c r="F27" s="23" t="n">
        <f aca="false">Inventory!D10</f>
        <v>18</v>
      </c>
      <c r="G27" s="23" t="n">
        <f aca="false">IF(F27="",0,C27*F27)</f>
        <v>18</v>
      </c>
    </row>
    <row r="28" customFormat="false" ht="15" hidden="false" customHeight="true" outlineLevel="0" collapsed="false">
      <c r="A28" s="21" t="s">
        <v>123</v>
      </c>
      <c r="B28" s="9" t="s">
        <v>95</v>
      </c>
      <c r="C28" s="22" t="n">
        <v>1</v>
      </c>
      <c r="D28" s="23" t="n">
        <f aca="false">Inventory!C15</f>
        <v>0</v>
      </c>
      <c r="E28" s="23" t="n">
        <f aca="false">IF(D28="",0,C28*D28)</f>
        <v>0</v>
      </c>
      <c r="F28" s="23" t="n">
        <f aca="false">Inventory!D15</f>
        <v>0</v>
      </c>
      <c r="G28" s="23" t="n">
        <f aca="false">IF(F28="",0,C28*F28)</f>
        <v>0</v>
      </c>
    </row>
    <row r="29" customFormat="false" ht="15" hidden="false" customHeight="true" outlineLevel="0" collapsed="false">
      <c r="A29" s="21" t="s">
        <v>123</v>
      </c>
      <c r="B29" s="9" t="s">
        <v>91</v>
      </c>
      <c r="C29" s="22" t="n">
        <v>1</v>
      </c>
      <c r="D29" s="23" t="n">
        <f aca="false">Inventory!C14</f>
        <v>18</v>
      </c>
      <c r="E29" s="23" t="n">
        <f aca="false">IF(D29="",0,C29*D29)</f>
        <v>18</v>
      </c>
      <c r="F29" s="23" t="n">
        <f aca="false">Inventory!D14</f>
        <v>70</v>
      </c>
      <c r="G29" s="23" t="n">
        <f aca="false">IF(F29="",0,C29*F29)</f>
        <v>70</v>
      </c>
    </row>
    <row r="30" customFormat="false" ht="15" hidden="false" customHeight="true" outlineLevel="0" collapsed="false">
      <c r="A30" s="21" t="s">
        <v>123</v>
      </c>
      <c r="B30" s="9" t="s">
        <v>60</v>
      </c>
      <c r="C30" s="22" t="n">
        <v>1</v>
      </c>
      <c r="D30" s="23" t="n">
        <f aca="false">Inventory!C4</f>
        <v>2</v>
      </c>
      <c r="E30" s="23" t="n">
        <f aca="false">IF(D30="",0,C30*D30)</f>
        <v>2</v>
      </c>
      <c r="F30" s="23" t="n">
        <f aca="false">Inventory!D4</f>
        <v>7</v>
      </c>
      <c r="G30" s="23" t="n">
        <f aca="false">IF(F30="",0,C30*F30)</f>
        <v>7</v>
      </c>
    </row>
    <row r="31" customFormat="false" ht="15" hidden="false" customHeight="true" outlineLevel="0" collapsed="false">
      <c r="A31" s="21" t="s">
        <v>123</v>
      </c>
      <c r="B31" s="9" t="s">
        <v>76</v>
      </c>
      <c r="C31" s="22" t="n">
        <v>1</v>
      </c>
      <c r="D31" s="23" t="n">
        <f aca="false">Inventory!C9</f>
        <v>13</v>
      </c>
      <c r="E31" s="23" t="n">
        <f aca="false">IF(D31="",0,C31*D31)</f>
        <v>13</v>
      </c>
      <c r="F31" s="23" t="n">
        <f aca="false">Inventory!D9</f>
        <v>50</v>
      </c>
      <c r="G31" s="23" t="n">
        <f aca="false">IF(F31="",0,C31*F31)</f>
        <v>50</v>
      </c>
    </row>
    <row r="32" customFormat="false" ht="15" hidden="false" customHeight="true" outlineLevel="0" collapsed="false">
      <c r="A32" s="24"/>
      <c r="B32" s="25" t="s">
        <v>118</v>
      </c>
      <c r="C32" s="24"/>
      <c r="D32" s="24"/>
      <c r="E32" s="26" t="n">
        <f aca="false">SUM(E25:E31)</f>
        <v>69</v>
      </c>
      <c r="F32" s="24"/>
      <c r="G32" s="26" t="n">
        <f aca="false">SUM(G25:G31)</f>
        <v>266</v>
      </c>
    </row>
    <row r="33" customFormat="false" ht="15" hidden="false" customHeight="true" outlineLevel="0" collapsed="false">
      <c r="B33" s="17" t="s">
        <v>119</v>
      </c>
      <c r="E33" s="27" t="n">
        <v>0</v>
      </c>
      <c r="G33" s="27" t="n">
        <v>0</v>
      </c>
    </row>
    <row r="34" customFormat="false" ht="15" hidden="false" customHeight="true" outlineLevel="0" collapsed="false">
      <c r="A34" s="20" t="s">
        <v>125</v>
      </c>
      <c r="B34" s="20"/>
      <c r="C34" s="20"/>
      <c r="D34" s="20"/>
      <c r="E34" s="20"/>
      <c r="F34" s="20"/>
      <c r="G34" s="20"/>
    </row>
    <row r="36" customFormat="false" ht="15" hidden="false" customHeight="true" outlineLevel="0" collapsed="false">
      <c r="A36" s="18" t="s">
        <v>126</v>
      </c>
      <c r="B36" s="19"/>
      <c r="C36" s="19"/>
      <c r="D36" s="19"/>
      <c r="E36" s="19"/>
      <c r="F36" s="19"/>
      <c r="G36" s="19"/>
    </row>
    <row r="37" customFormat="false" ht="15" hidden="false" customHeight="true" outlineLevel="0" collapsed="false">
      <c r="A37" s="20" t="s">
        <v>127</v>
      </c>
      <c r="B37" s="20"/>
      <c r="C37" s="20"/>
      <c r="D37" s="20"/>
      <c r="E37" s="20"/>
      <c r="F37" s="20"/>
      <c r="G37" s="20"/>
    </row>
    <row r="38" customFormat="false" ht="15" hidden="false" customHeight="true" outlineLevel="0" collapsed="false">
      <c r="A38" s="21" t="s">
        <v>126</v>
      </c>
      <c r="B38" s="9" t="s">
        <v>65</v>
      </c>
      <c r="C38" s="22" t="n">
        <v>1</v>
      </c>
      <c r="D38" s="23" t="n">
        <f aca="false">Inventory!C5</f>
        <v>63</v>
      </c>
      <c r="E38" s="23" t="n">
        <f aca="false">IF(D38="",0,C38*D38)</f>
        <v>63</v>
      </c>
      <c r="F38" s="23" t="n">
        <f aca="false">Inventory!D5</f>
        <v>250</v>
      </c>
      <c r="G38" s="23" t="n">
        <f aca="false">IF(F38="",0,C38*F38)</f>
        <v>250</v>
      </c>
    </row>
    <row r="39" customFormat="false" ht="15" hidden="false" customHeight="true" outlineLevel="0" collapsed="false">
      <c r="A39" s="21" t="s">
        <v>126</v>
      </c>
      <c r="B39" s="9" t="s">
        <v>74</v>
      </c>
      <c r="C39" s="22" t="n">
        <v>1</v>
      </c>
      <c r="D39" s="23" t="n">
        <f aca="false">Inventory!C8</f>
        <v>20</v>
      </c>
      <c r="E39" s="23" t="n">
        <f aca="false">IF(D39="",0,C39*D39)</f>
        <v>20</v>
      </c>
      <c r="F39" s="23" t="n">
        <f aca="false">Inventory!D8</f>
        <v>80</v>
      </c>
      <c r="G39" s="23" t="n">
        <f aca="false">IF(F39="",0,C39*F39)</f>
        <v>80</v>
      </c>
    </row>
    <row r="40" customFormat="false" ht="15" hidden="false" customHeight="true" outlineLevel="0" collapsed="false">
      <c r="A40" s="21" t="s">
        <v>126</v>
      </c>
      <c r="B40" s="9" t="s">
        <v>57</v>
      </c>
      <c r="C40" s="22" t="n">
        <v>1</v>
      </c>
      <c r="D40" s="23" t="n">
        <f aca="false">Inventory!C3</f>
        <v>25</v>
      </c>
      <c r="E40" s="23" t="n">
        <f aca="false">IF(D40="",0,C40*D40)</f>
        <v>25</v>
      </c>
      <c r="F40" s="23" t="n">
        <f aca="false">Inventory!D3</f>
        <v>100</v>
      </c>
      <c r="G40" s="23" t="n">
        <f aca="false">IF(F40="",0,C40*F40)</f>
        <v>100</v>
      </c>
    </row>
    <row r="41" customFormat="false" ht="15" hidden="false" customHeight="true" outlineLevel="0" collapsed="false">
      <c r="A41" s="21" t="s">
        <v>126</v>
      </c>
      <c r="B41" s="9" t="s">
        <v>81</v>
      </c>
      <c r="C41" s="22" t="n">
        <v>1</v>
      </c>
      <c r="D41" s="23" t="n">
        <f aca="false">Inventory!C10</f>
        <v>5</v>
      </c>
      <c r="E41" s="23" t="n">
        <f aca="false">IF(D41="",0,C41*D41)</f>
        <v>5</v>
      </c>
      <c r="F41" s="23" t="n">
        <f aca="false">Inventory!D10</f>
        <v>18</v>
      </c>
      <c r="G41" s="23" t="n">
        <f aca="false">IF(F41="",0,C41*F41)</f>
        <v>18</v>
      </c>
    </row>
    <row r="42" customFormat="false" ht="15" hidden="false" customHeight="true" outlineLevel="0" collapsed="false">
      <c r="A42" s="21" t="s">
        <v>126</v>
      </c>
      <c r="B42" s="9" t="s">
        <v>60</v>
      </c>
      <c r="C42" s="22" t="n">
        <v>1</v>
      </c>
      <c r="D42" s="23" t="n">
        <f aca="false">Inventory!C4</f>
        <v>2</v>
      </c>
      <c r="E42" s="23" t="n">
        <f aca="false">IF(D42="",0,C42*D42)</f>
        <v>2</v>
      </c>
      <c r="F42" s="23" t="n">
        <f aca="false">Inventory!D4</f>
        <v>7</v>
      </c>
      <c r="G42" s="23" t="n">
        <f aca="false">IF(F42="",0,C42*F42)</f>
        <v>7</v>
      </c>
    </row>
    <row r="43" customFormat="false" ht="15" hidden="false" customHeight="true" outlineLevel="0" collapsed="false">
      <c r="A43" s="24"/>
      <c r="B43" s="25" t="s">
        <v>118</v>
      </c>
      <c r="C43" s="24"/>
      <c r="D43" s="24"/>
      <c r="E43" s="26" t="n">
        <f aca="false">SUM(E38:E42)</f>
        <v>115</v>
      </c>
      <c r="F43" s="24"/>
      <c r="G43" s="26" t="n">
        <f aca="false">SUM(G38:G42)</f>
        <v>455</v>
      </c>
    </row>
    <row r="44" customFormat="false" ht="15" hidden="false" customHeight="true" outlineLevel="0" collapsed="false">
      <c r="B44" s="17" t="s">
        <v>119</v>
      </c>
      <c r="E44" s="27" t="n">
        <v>115</v>
      </c>
      <c r="G44" s="27" t="n">
        <v>455</v>
      </c>
    </row>
    <row r="45" customFormat="false" ht="15" hidden="false" customHeight="true" outlineLevel="0" collapsed="false">
      <c r="A45" s="20" t="s">
        <v>128</v>
      </c>
      <c r="B45" s="20"/>
      <c r="C45" s="20"/>
      <c r="D45" s="20"/>
      <c r="E45" s="20"/>
      <c r="F45" s="20"/>
      <c r="G45" s="20"/>
    </row>
  </sheetData>
  <mergeCells count="7">
    <mergeCell ref="A3:G3"/>
    <mergeCell ref="A12:G12"/>
    <mergeCell ref="A21:G21"/>
    <mergeCell ref="A24:G24"/>
    <mergeCell ref="A34:G34"/>
    <mergeCell ref="A37:G37"/>
    <mergeCell ref="A45:G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11"/>
    <col collapsed="false" customWidth="true" hidden="false" outlineLevel="0" max="9" min="9" style="1" width="13"/>
    <col collapsed="false" customWidth="true" hidden="false" outlineLevel="0" max="10" min="10" style="1" width="60"/>
  </cols>
  <sheetData>
    <row r="1" customFormat="false" ht="26.25" hidden="false" customHeight="true" outlineLevel="0" collapsed="false">
      <c r="A1" s="7" t="s">
        <v>129</v>
      </c>
      <c r="B1" s="7" t="s">
        <v>130</v>
      </c>
      <c r="C1" s="7" t="s">
        <v>131</v>
      </c>
      <c r="D1" s="7" t="s">
        <v>132</v>
      </c>
      <c r="E1" s="7" t="s">
        <v>133</v>
      </c>
      <c r="F1" s="7" t="s">
        <v>134</v>
      </c>
      <c r="G1" s="7" t="s">
        <v>135</v>
      </c>
      <c r="H1" s="7" t="s">
        <v>136</v>
      </c>
      <c r="I1" s="7" t="s">
        <v>137</v>
      </c>
      <c r="J1" s="7" t="s">
        <v>138</v>
      </c>
    </row>
    <row r="2" customFormat="false" ht="21.75" hidden="false" customHeight="true" outlineLevel="0" collapsed="false">
      <c r="A2" s="28" t="s">
        <v>139</v>
      </c>
      <c r="B2" s="28" t="s">
        <v>140</v>
      </c>
      <c r="C2" s="28" t="s">
        <v>141</v>
      </c>
      <c r="D2" s="28" t="s">
        <v>142</v>
      </c>
      <c r="E2" s="28" t="n">
        <v>2</v>
      </c>
      <c r="F2" s="28" t="s">
        <v>143</v>
      </c>
      <c r="G2" s="28" t="n">
        <v>2</v>
      </c>
      <c r="H2" s="28" t="n">
        <v>0</v>
      </c>
      <c r="I2" s="28" t="n">
        <v>4</v>
      </c>
      <c r="J2" s="29" t="s">
        <v>144</v>
      </c>
    </row>
    <row r="3" customFormat="false" ht="21.75" hidden="false" customHeight="true" outlineLevel="0" collapsed="false">
      <c r="A3" s="28" t="s">
        <v>145</v>
      </c>
      <c r="B3" s="28" t="s">
        <v>146</v>
      </c>
      <c r="C3" s="28" t="s">
        <v>147</v>
      </c>
      <c r="D3" s="28" t="s">
        <v>148</v>
      </c>
      <c r="E3" s="28" t="n">
        <v>2</v>
      </c>
      <c r="F3" s="28" t="n">
        <v>1</v>
      </c>
      <c r="G3" s="28" t="n">
        <v>2</v>
      </c>
      <c r="H3" s="28" t="n">
        <v>3</v>
      </c>
      <c r="I3" s="28" t="n">
        <v>8</v>
      </c>
      <c r="J3" s="29" t="s">
        <v>149</v>
      </c>
    </row>
    <row r="4" customFormat="false" ht="21.75" hidden="false" customHeight="true" outlineLevel="0" collapsed="false">
      <c r="A4" s="28" t="s">
        <v>145</v>
      </c>
      <c r="B4" s="28" t="s">
        <v>150</v>
      </c>
      <c r="C4" s="28" t="s">
        <v>147</v>
      </c>
      <c r="D4" s="28" t="s">
        <v>151</v>
      </c>
      <c r="E4" s="28" t="n">
        <v>2</v>
      </c>
      <c r="F4" s="28" t="n">
        <v>2</v>
      </c>
      <c r="G4" s="28" t="n">
        <v>2</v>
      </c>
      <c r="H4" s="28" t="n">
        <v>3</v>
      </c>
      <c r="I4" s="28" t="n">
        <v>8</v>
      </c>
      <c r="J4" s="29" t="s">
        <v>152</v>
      </c>
    </row>
    <row r="5" customFormat="false" ht="26.25" hidden="false" customHeight="true" outlineLevel="0" collapsed="false">
      <c r="A5" s="28" t="s">
        <v>153</v>
      </c>
      <c r="B5" s="28" t="s">
        <v>154</v>
      </c>
      <c r="C5" s="28" t="s">
        <v>147</v>
      </c>
      <c r="D5" s="28" t="s">
        <v>155</v>
      </c>
      <c r="E5" s="28" t="n">
        <v>2</v>
      </c>
      <c r="F5" s="28" t="n">
        <v>0</v>
      </c>
      <c r="G5" s="28" t="s">
        <v>156</v>
      </c>
      <c r="H5" s="28" t="n">
        <v>0</v>
      </c>
      <c r="I5" s="28" t="n">
        <v>6</v>
      </c>
      <c r="J5" s="29" t="s">
        <v>157</v>
      </c>
    </row>
    <row r="6" customFormat="false" ht="21.75" hidden="false" customHeight="true" outlineLevel="0" collapsed="false">
      <c r="A6" s="28" t="s">
        <v>158</v>
      </c>
      <c r="B6" s="28" t="s">
        <v>159</v>
      </c>
      <c r="C6" s="28" t="s">
        <v>147</v>
      </c>
      <c r="D6" s="28" t="s">
        <v>160</v>
      </c>
      <c r="E6" s="28" t="s">
        <v>161</v>
      </c>
      <c r="F6" s="28" t="n">
        <v>2</v>
      </c>
      <c r="G6" s="28" t="n">
        <v>1</v>
      </c>
      <c r="H6" s="28" t="n">
        <v>0</v>
      </c>
      <c r="I6" s="28" t="n">
        <v>4</v>
      </c>
      <c r="J6" s="29" t="s">
        <v>162</v>
      </c>
    </row>
    <row r="8" customFormat="false" ht="15" hidden="false" customHeight="true" outlineLevel="0" collapsed="false">
      <c r="A8" s="17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2026-09-16T22:43:01Z</dcterms:created>
  <dc:creator>openpyxl</dc:creator>
  <dc:description/>
  <dc:language>en-US</dc:language>
  <cp:lastModifiedBy/>
  <dcterms:modified xsi:type="dcterms:W3CDTF">2026-09-16T23:22:04Z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